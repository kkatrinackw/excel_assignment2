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rinachan/Desktop/Coding Temple/Excel/"/>
    </mc:Choice>
  </mc:AlternateContent>
  <xr:revisionPtr revIDLastSave="0" documentId="13_ncr:1_{EE257E57-75E6-0943-90CE-FCC6FA3C4F12}" xr6:coauthVersionLast="47" xr6:coauthVersionMax="47" xr10:uidLastSave="{00000000-0000-0000-0000-000000000000}"/>
  <bookViews>
    <workbookView xWindow="28800" yWindow="-10800" windowWidth="51200" windowHeight="28800" xr2:uid="{D96565C8-DBC1-FB4E-B397-5154BCD03032}"/>
  </bookViews>
  <sheets>
    <sheet name="Peronal Expense Tracker" sheetId="1" r:id="rId1"/>
    <sheet name="Transaction" sheetId="3" r:id="rId2"/>
  </sheets>
  <definedNames>
    <definedName name="_xlchart.v1.0" hidden="1">'Peronal Expense Tracker'!$A$8:$A$13</definedName>
    <definedName name="_xlchart.v1.1" hidden="1">'Peronal Expense Tracker'!$B$8:$B$13</definedName>
    <definedName name="_xlchart.v1.10" hidden="1">'Peronal Expense Tracker'!$A$8:$A$13</definedName>
    <definedName name="_xlchart.v1.11" hidden="1">'Peronal Expense Tracker'!$B$8:$B$13</definedName>
    <definedName name="_xlchart.v1.2" hidden="1">'Peronal Expense Tracker'!$A$8:$A$13</definedName>
    <definedName name="_xlchart.v1.3" hidden="1">'Peronal Expense Tracker'!$B$8:$B$13</definedName>
    <definedName name="_xlchart.v1.4" hidden="1">'Peronal Expense Tracker'!$A$8:$A$13</definedName>
    <definedName name="_xlchart.v1.5" hidden="1">'Peronal Expense Tracker'!$B$8:$B$13</definedName>
    <definedName name="_xlchart.v1.6" hidden="1">'Peronal Expense Tracker'!$A$8:$A$13</definedName>
    <definedName name="_xlchart.v1.7" hidden="1">'Peronal Expense Tracker'!$B$8:$B$13</definedName>
    <definedName name="_xlchart.v1.8" hidden="1">'Peronal Expense Tracker'!$A$8:$A$13</definedName>
    <definedName name="_xlchart.v1.9" hidden="1">'Peronal Expense Tracker'!$B$8:$B$13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3" i="1"/>
  <c r="B8" i="1"/>
  <c r="B10" i="1"/>
  <c r="D3" i="3"/>
  <c r="B11" i="1"/>
  <c r="B12" i="1"/>
  <c r="B14" i="1"/>
  <c r="D2" i="1"/>
  <c r="D5" i="1"/>
</calcChain>
</file>

<file path=xl/sharedStrings.xml><?xml version="1.0" encoding="utf-8"?>
<sst xmlns="http://schemas.openxmlformats.org/spreadsheetml/2006/main" count="69" uniqueCount="47">
  <si>
    <t>Home Supplies</t>
  </si>
  <si>
    <t>Clothing</t>
  </si>
  <si>
    <t>Air Travel</t>
  </si>
  <si>
    <t>Date</t>
  </si>
  <si>
    <t>Description</t>
  </si>
  <si>
    <t>Category</t>
  </si>
  <si>
    <t xml:space="preserve">Amount </t>
  </si>
  <si>
    <t>SHOPRITE</t>
  </si>
  <si>
    <t>MARSHALLS</t>
  </si>
  <si>
    <t>COSTCO</t>
  </si>
  <si>
    <t>Groceries</t>
  </si>
  <si>
    <t>NIKE</t>
  </si>
  <si>
    <t>AMAZON</t>
  </si>
  <si>
    <t>UBER EATS</t>
  </si>
  <si>
    <t>CHINA AIRLINE</t>
  </si>
  <si>
    <t>November 20,2023</t>
  </si>
  <si>
    <t>November 19,2023</t>
  </si>
  <si>
    <t>November 19,2022</t>
  </si>
  <si>
    <t>November 18,2023</t>
  </si>
  <si>
    <t>November 18,2022</t>
  </si>
  <si>
    <t>November 11,2023</t>
  </si>
  <si>
    <t>November 18,2024</t>
  </si>
  <si>
    <t>DAISO</t>
  </si>
  <si>
    <t>DOMINO'S</t>
  </si>
  <si>
    <t>WEEE INC.</t>
  </si>
  <si>
    <t>November 27,2023</t>
  </si>
  <si>
    <t>LULULUEMONCOM</t>
  </si>
  <si>
    <t>LOREAL*'LA ROCHE</t>
  </si>
  <si>
    <t>November 28,2023</t>
  </si>
  <si>
    <t>SABON</t>
  </si>
  <si>
    <t>November 30,2023</t>
  </si>
  <si>
    <t>DUNKIN</t>
  </si>
  <si>
    <t>Coffee Shops</t>
  </si>
  <si>
    <t>Surshark Inc</t>
  </si>
  <si>
    <t>November 29,2023</t>
  </si>
  <si>
    <t>November 24,2023</t>
  </si>
  <si>
    <t>November 25,2023</t>
  </si>
  <si>
    <t>McDonalds</t>
  </si>
  <si>
    <t>HANCOOK K-BBQ &amp; TOFU SOUP</t>
  </si>
  <si>
    <t>Left Over</t>
  </si>
  <si>
    <t>Utilities</t>
  </si>
  <si>
    <t xml:space="preserve">Food </t>
  </si>
  <si>
    <t>Amounts</t>
  </si>
  <si>
    <t>Personal Expense Tracker in November 2023</t>
  </si>
  <si>
    <t>Saving Goal</t>
  </si>
  <si>
    <t>Expenses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</si>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</sst>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/>
    </xf>
    <xf numFmtId="0" fontId="0" fillId="0" borderId="0" xfId="0" applyFont="1"/>
    <xf numFmtId="0" fontId="6" fillId="0" borderId="2" xfId="0" applyFont="1" applyBorder="1"/>
    <xf numFmtId="0" fontId="0" fillId="0" borderId="2" xfId="0" applyBorder="1"/>
    <xf numFmtId="0" fontId="0" fillId="0" borderId="0" xfId="0" applyBorder="1"/>
    <xf numFmtId="0" fontId="5" fillId="0" borderId="0" xfId="0" applyFont="1" applyBorder="1"/>
    <xf numFmtId="44" fontId="4" fillId="0" borderId="0" xfId="1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44" fontId="4" fillId="0" borderId="1" xfId="1" applyFont="1" applyBorder="1"/>
    <xf numFmtId="44" fontId="0" fillId="0" borderId="0" xfId="0" applyNumberFormat="1" applyBorder="1"/>
    <xf numFmtId="44" fontId="0" fillId="0" borderId="0" xfId="1" applyFont="1" applyBorder="1"/>
    <xf numFmtId="0" fontId="2" fillId="0" borderId="0" xfId="0" applyFont="1" applyAlignment="1">
      <alignment horizontal="center"/>
    </xf>
    <xf numFmtId="44" fontId="0" fillId="0" borderId="0" xfId="1" applyFont="1" applyAlignment="1">
      <alignment horizontal="center"/>
    </xf>
    <xf numFmtId="0" fontId="4" fillId="0" borderId="3" xfId="0" applyFont="1" applyBorder="1" applyAlignment="1">
      <alignment horizontal="right"/>
    </xf>
    <xf numFmtId="44" fontId="4" fillId="0" borderId="0" xfId="0" applyNumberFormat="1" applyFont="1" applyBorder="1"/>
    <xf numFmtId="0" fontId="4" fillId="0" borderId="0" xfId="0" applyFont="1" applyBorder="1" applyAlignment="1">
      <alignment horizontal="right"/>
    </xf>
    <xf numFmtId="44" fontId="4" fillId="0" borderId="0" xfId="1" applyFont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Big 3 Expenses in 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7004575703701561E-3"/>
          <c:y val="0.14982215642770277"/>
          <c:w val="0.96214428123249229"/>
          <c:h val="0.84404865741442414"/>
        </c:manualLayout>
      </c:layout>
      <c:pie3DChart>
        <c:varyColors val="1"/>
        <c:ser>
          <c:idx val="0"/>
          <c:order val="0"/>
          <c:tx>
            <c:strRef>
              <c:f>'Peronal Expense Tracker'!$B$7</c:f>
              <c:strCache>
                <c:ptCount val="1"/>
                <c:pt idx="0">
                  <c:v> Amounts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9F52-5F4A-90EA-1D1B9CF0CAF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9F52-5F4A-90EA-1D1B9CF0CAF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9F52-5F4A-90EA-1D1B9CF0CAFA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9F52-5F4A-90EA-1D1B9CF0CAF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9F52-5F4A-90EA-1D1B9CF0CAF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9F52-5F4A-90EA-1D1B9CF0CAF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9F52-5F4A-90EA-1D1B9CF0CAF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F52-5F4A-90EA-1D1B9CF0CA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F52-5F4A-90EA-1D1B9CF0CA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F52-5F4A-90EA-1D1B9CF0CA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F52-5F4A-90EA-1D1B9CF0C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'Peronal Expense Tracker'!$A$8:$A$14</c:f>
              <c:strCache>
                <c:ptCount val="7"/>
                <c:pt idx="0">
                  <c:v>Coffee Shops</c:v>
                </c:pt>
                <c:pt idx="1">
                  <c:v>Food </c:v>
                </c:pt>
                <c:pt idx="2">
                  <c:v>Groceries</c:v>
                </c:pt>
                <c:pt idx="3">
                  <c:v>Clothing</c:v>
                </c:pt>
                <c:pt idx="4">
                  <c:v>Home Supplies</c:v>
                </c:pt>
                <c:pt idx="5">
                  <c:v>Utilities</c:v>
                </c:pt>
                <c:pt idx="6">
                  <c:v>Air Travel</c:v>
                </c:pt>
              </c:strCache>
            </c:strRef>
          </c:cat>
          <c:val>
            <c:numRef>
              <c:f>'Peronal Expense Tracker'!$B$8:$B$14</c:f>
              <c:numCache>
                <c:formatCode>_("$"* #,##0.00_);_("$"* \(#,##0.00\);_("$"* "-"??_);_(@_)</c:formatCode>
                <c:ptCount val="7"/>
                <c:pt idx="0">
                  <c:v>15</c:v>
                </c:pt>
                <c:pt idx="1">
                  <c:v>128.48000000000002</c:v>
                </c:pt>
                <c:pt idx="2">
                  <c:v>608.83999999999992</c:v>
                </c:pt>
                <c:pt idx="3">
                  <c:v>390.65</c:v>
                </c:pt>
                <c:pt idx="4">
                  <c:v>18.64</c:v>
                </c:pt>
                <c:pt idx="5">
                  <c:v>53.76</c:v>
                </c:pt>
                <c:pt idx="6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5F4A-90EA-1D1B9CF0CAF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Breakdown</a:t>
            </a:r>
            <a:r>
              <a:rPr lang="en-US" baseline="0"/>
              <a:t> of Expenses in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'Peronal Expense Tracker'!$B$7</c:f>
              <c:strCache>
                <c:ptCount val="1"/>
                <c:pt idx="0">
                  <c:v> Amounts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'Peronal Expense Tracker'!$A$8:$A$14</c:f>
              <c:strCache>
                <c:ptCount val="7"/>
                <c:pt idx="0">
                  <c:v>Coffee Shops</c:v>
                </c:pt>
                <c:pt idx="1">
                  <c:v>Food </c:v>
                </c:pt>
                <c:pt idx="2">
                  <c:v>Groceries</c:v>
                </c:pt>
                <c:pt idx="3">
                  <c:v>Clothing</c:v>
                </c:pt>
                <c:pt idx="4">
                  <c:v>Home Supplies</c:v>
                </c:pt>
                <c:pt idx="5">
                  <c:v>Utilities</c:v>
                </c:pt>
                <c:pt idx="6">
                  <c:v>Air Travel</c:v>
                </c:pt>
              </c:strCache>
            </c:strRef>
          </c:cat>
          <c:val>
            <c:numRef>
              <c:f>'Peronal Expense Tracker'!$B$8:$B$14</c:f>
              <c:numCache>
                <c:formatCode>_("$"* #,##0.00_);_("$"* \(#,##0.00\);_("$"* "-"??_);_(@_)</c:formatCode>
                <c:ptCount val="7"/>
                <c:pt idx="0">
                  <c:v>15</c:v>
                </c:pt>
                <c:pt idx="1">
                  <c:v>128.48000000000002</c:v>
                </c:pt>
                <c:pt idx="2">
                  <c:v>608.83999999999992</c:v>
                </c:pt>
                <c:pt idx="3">
                  <c:v>390.65</c:v>
                </c:pt>
                <c:pt idx="4">
                  <c:v>18.64</c:v>
                </c:pt>
                <c:pt idx="5">
                  <c:v>53.76</c:v>
                </c:pt>
                <c:pt idx="6">
                  <c:v>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447-987E-E1134C9F2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985920"/>
        <c:axId val="520148592"/>
      </c:barChart>
      <c:catAx>
        <c:axId val="6019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48592"/>
        <c:crosses val="autoZero"/>
        <c:auto val="1"/>
        <c:lblAlgn val="ctr"/>
        <c:lblOffset val="100"/>
        <c:noMultiLvlLbl val="0"/>
      </c:catAx>
      <c:valAx>
        <c:axId val="52014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Expenses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'Peronal Expense Tracker'!$A$2:$A$3</c:f>
              <c:strCache>
                <c:ptCount val="2"/>
                <c:pt idx="0">
                  <c:v>Expenses</c:v>
                </c:pt>
                <c:pt idx="1">
                  <c:v>Revenue</c:v>
                </c:pt>
              </c:strCache>
            </c:strRef>
          </c:cat>
          <c:val>
            <c:numRef>
              <c:f>'Peronal Expense Tracker'!$B$2:$B$3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2733-8245-AD97-74D1060C444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'Peronal Expense Tracker'!$A$2:$A$3</c:f>
              <c:strCache>
                <c:ptCount val="2"/>
                <c:pt idx="0">
                  <c:v>Expenses</c:v>
                </c:pt>
                <c:pt idx="1">
                  <c:v>Revenue</c:v>
                </c:pt>
              </c:strCache>
            </c:strRef>
          </c:cat>
          <c:val>
            <c:numRef>
              <c:f>'Peronal Expense Tracker'!$C$2:$C$3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2733-8245-AD97-74D1060C444B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'Peronal Expense Tracker'!$A$2:$A$3</c:f>
              <c:strCache>
                <c:ptCount val="2"/>
                <c:pt idx="0">
                  <c:v>Expenses</c:v>
                </c:pt>
                <c:pt idx="1">
                  <c:v>Revenue</c:v>
                </c:pt>
              </c:strCache>
            </c:strRef>
          </c:cat>
          <c:val>
            <c:numRef>
              <c:f>'Peronal Expense Tracker'!$D$2:$D$3</c:f>
              <c:numCache>
                <c:formatCode>_("$"* #,##0.00_);_("$"* \(#,##0.00\);_("$"* "-"??_);_(@_)</c:formatCode>
                <c:ptCount val="2"/>
                <c:pt idx="0">
                  <c:v>2075.37</c:v>
                </c:pt>
                <c:pt idx="1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33-8245-AD97-74D1060C44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167053</xdr:rowOff>
    </xdr:from>
    <xdr:to>
      <xdr:col>8</xdr:col>
      <xdr:colOff>810847</xdr:colOff>
      <xdr:row>74</xdr:row>
      <xdr:rowOff>195385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C27854-85F8-3D0B-8CCC-9B89C3244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</xdr:colOff>
      <xdr:row>47</xdr:row>
      <xdr:rowOff>10747</xdr:rowOff>
    </xdr:from>
    <xdr:to>
      <xdr:col>19</xdr:col>
      <xdr:colOff>547078</xdr:colOff>
      <xdr:row>75</xdr:row>
      <xdr:rowOff>39078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164501-DA40-D7D3-0093-766626C98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10746</xdr:rowOff>
    </xdr:from>
    <xdr:to>
      <xdr:col>9</xdr:col>
      <xdr:colOff>0</xdr:colOff>
      <xdr:row>44</xdr:row>
      <xdr:rowOff>29308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03927F-BC5B-ECD0-383D-CABE04DDC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E81CF-6126-E545-A088-EC0B75F2F826}" name="Table1" displayName="Table1" ref="A7:B14" totalsRowShown="0" headerRowDxfId="1">
  <autoFilter ref="A7:B14" xr:uid="{087E81CF-6126-E545-A088-EC0B75F2F826}"/>
  <tableColumns count="2">
    <tableColumn id="1" xr3:uid="{6B47363D-6E7D-9D45-B7A3-74F34DFE53C6}" name="Category"/>
    <tableColumn id="3" xr3:uid="{32DFF36F-8BBC-BA4A-9BF7-8D21AE642229}" name="Amounts" dataDxfId="2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03DF-A623-D247-8B87-6924CB76471A}">
  <dimension ref="A1:O40"/>
  <sheetViews>
    <sheetView tabSelected="1" topLeftCell="A38" zoomScale="130" zoomScaleNormal="130" workbookViewId="0">
      <selection activeCell="V74" sqref="V74"/>
    </sheetView>
  </sheetViews>
  <sheetFormatPr baseColWidth="10" defaultRowHeight="16" x14ac:dyDescent="0.2"/>
  <cols>
    <col min="1" max="1" width="15" bestFit="1" customWidth="1"/>
    <col min="2" max="2" width="14.83203125" bestFit="1" customWidth="1"/>
    <col min="3" max="3" width="11.33203125" customWidth="1"/>
    <col min="4" max="4" width="15.33203125" bestFit="1" customWidth="1"/>
  </cols>
  <sheetData>
    <row r="1" spans="1:15" s="11" customFormat="1" ht="30" thickBot="1" x14ac:dyDescent="0.4">
      <c r="A1" s="10" t="s">
        <v>43</v>
      </c>
    </row>
    <row r="2" spans="1:15" s="13" customFormat="1" ht="24" x14ac:dyDescent="0.3">
      <c r="A2" s="22" t="s">
        <v>45</v>
      </c>
      <c r="B2" s="22"/>
      <c r="C2" s="22"/>
      <c r="D2" s="23">
        <f>SUM(B8:B14)</f>
        <v>2075.37</v>
      </c>
    </row>
    <row r="3" spans="1:15" s="12" customFormat="1" ht="21" x14ac:dyDescent="0.25">
      <c r="A3" s="24" t="s">
        <v>46</v>
      </c>
      <c r="B3" s="24"/>
      <c r="C3" s="24"/>
      <c r="D3" s="25">
        <v>4500</v>
      </c>
    </row>
    <row r="4" spans="1:15" s="12" customFormat="1" ht="21" x14ac:dyDescent="0.25">
      <c r="A4" s="16" t="s">
        <v>44</v>
      </c>
      <c r="B4" s="16"/>
      <c r="C4" s="16"/>
      <c r="D4" s="17">
        <v>2000</v>
      </c>
    </row>
    <row r="5" spans="1:15" ht="21" x14ac:dyDescent="0.25">
      <c r="A5" s="15" t="s">
        <v>39</v>
      </c>
      <c r="B5" s="15"/>
      <c r="C5" s="15"/>
      <c r="D5" s="14">
        <f>D3-D2</f>
        <v>2424.63</v>
      </c>
    </row>
    <row r="6" spans="1:15" ht="14" customHeight="1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20" t="s">
        <v>5</v>
      </c>
      <c r="B7" s="21" t="s">
        <v>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2">
      <c r="A8" t="s">
        <v>32</v>
      </c>
      <c r="B8" s="1">
        <f>SUMIF(Transaction!C$2:C$19,'Peronal Expense Tracker'!A8,Transaction!D$2:D$19)</f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2">
      <c r="A9" t="s">
        <v>41</v>
      </c>
      <c r="B9" s="1">
        <f>SUMIF(Transaction!C$2:C$19,'Peronal Expense Tracker'!A9,Transaction!D$2:D$19)</f>
        <v>128.48000000000002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">
      <c r="A10" t="s">
        <v>10</v>
      </c>
      <c r="B10" s="1">
        <f>SUMIF(Transaction!C$2:C$19,'Peronal Expense Tracker'!A10,Transaction!D$2:D$19)</f>
        <v>608.83999999999992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">
      <c r="A11" t="s">
        <v>1</v>
      </c>
      <c r="B11" s="1">
        <f>SUMIF(Transaction!C$2:C$19,'Peronal Expense Tracker'!A11,Transaction!D$2:D$19)</f>
        <v>390.65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">
      <c r="A12" t="s">
        <v>0</v>
      </c>
      <c r="B12" s="1">
        <f>SUMIF(Transaction!C$2:C$19,'Peronal Expense Tracker'!A12,Transaction!D$2:D$19)</f>
        <v>18.64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">
      <c r="A13" t="s">
        <v>40</v>
      </c>
      <c r="B13" s="1">
        <f>SUMIF(Transaction!C$2:C$19,'Peronal Expense Tracker'!A13,Transaction!D$2:D$19)</f>
        <v>53.76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">
      <c r="A14" t="s">
        <v>2</v>
      </c>
      <c r="B14" s="1">
        <f>SUMIF(Transaction!C$2:C$19,'Peronal Expense Tracker'!A14,Transaction!D$2:D$19)</f>
        <v>860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">
      <c r="A15" s="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2"/>
      <c r="B17" s="12"/>
      <c r="C17" s="1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2"/>
      <c r="B18" s="19"/>
      <c r="C18" s="1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B19" s="1"/>
      <c r="C19" s="1"/>
      <c r="D19" s="1"/>
      <c r="E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B21" s="1"/>
      <c r="C21" s="1"/>
      <c r="D21" s="1"/>
      <c r="E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E22" s="1"/>
      <c r="G22" s="1"/>
    </row>
    <row r="23" spans="1:15" x14ac:dyDescent="0.2">
      <c r="E23" s="1"/>
      <c r="G23" s="1"/>
    </row>
    <row r="24" spans="1:15" x14ac:dyDescent="0.2">
      <c r="E24" s="1"/>
      <c r="G24" s="1"/>
    </row>
    <row r="25" spans="1:15" x14ac:dyDescent="0.2">
      <c r="E25" s="1"/>
      <c r="G25" s="1"/>
    </row>
    <row r="26" spans="1:15" x14ac:dyDescent="0.2">
      <c r="E26" s="1"/>
      <c r="G26" s="1"/>
    </row>
    <row r="27" spans="1:15" x14ac:dyDescent="0.2">
      <c r="E27" s="1"/>
      <c r="G27" s="1"/>
      <c r="I27" s="2"/>
    </row>
    <row r="28" spans="1:15" x14ac:dyDescent="0.2">
      <c r="E28" s="1"/>
      <c r="G28" s="1"/>
    </row>
    <row r="29" spans="1:15" x14ac:dyDescent="0.2">
      <c r="E29" s="1"/>
      <c r="G29" s="1"/>
    </row>
    <row r="30" spans="1:15" x14ac:dyDescent="0.2">
      <c r="E30" s="1"/>
      <c r="G30" s="1"/>
    </row>
    <row r="31" spans="1:15" x14ac:dyDescent="0.2">
      <c r="E31" s="1"/>
      <c r="G31" s="1"/>
    </row>
    <row r="32" spans="1:15" x14ac:dyDescent="0.2">
      <c r="E32" s="1"/>
      <c r="G32" s="1"/>
    </row>
    <row r="33" spans="5:7" x14ac:dyDescent="0.2">
      <c r="E33" s="1"/>
      <c r="G33" s="1"/>
    </row>
    <row r="34" spans="5:7" x14ac:dyDescent="0.2">
      <c r="E34" s="1"/>
      <c r="G34" s="1"/>
    </row>
    <row r="35" spans="5:7" x14ac:dyDescent="0.2">
      <c r="E35" s="1"/>
      <c r="G35" s="1"/>
    </row>
    <row r="36" spans="5:7" x14ac:dyDescent="0.2">
      <c r="E36" s="1"/>
      <c r="G36" s="1"/>
    </row>
    <row r="37" spans="5:7" x14ac:dyDescent="0.2">
      <c r="E37" s="1"/>
      <c r="G37" s="1"/>
    </row>
    <row r="38" spans="5:7" x14ac:dyDescent="0.2">
      <c r="E38" s="1"/>
    </row>
    <row r="39" spans="5:7" x14ac:dyDescent="0.2">
      <c r="E39" s="1"/>
    </row>
    <row r="40" spans="5:7" x14ac:dyDescent="0.2">
      <c r="E40" s="1"/>
    </row>
  </sheetData>
  <mergeCells count="4">
    <mergeCell ref="A4:C4"/>
    <mergeCell ref="A5:C5"/>
    <mergeCell ref="A2:C2"/>
    <mergeCell ref="A3:C3"/>
  </mergeCells>
  <conditionalFormatting sqref="D5">
    <cfRule type="cellIs" dxfId="0" priority="3" operator="greaterThan">
      <formula>$D$4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CAA7-9C22-0548-BD23-65822E0F5C2E}">
  <dimension ref="A1:D19"/>
  <sheetViews>
    <sheetView zoomScale="130" zoomScaleNormal="130" workbookViewId="0">
      <selection activeCell="D2" sqref="D2:D19"/>
    </sheetView>
  </sheetViews>
  <sheetFormatPr baseColWidth="10" defaultRowHeight="16" x14ac:dyDescent="0.2"/>
  <cols>
    <col min="1" max="1" width="18.6640625" style="6" bestFit="1" customWidth="1"/>
    <col min="2" max="2" width="28.1640625" bestFit="1" customWidth="1"/>
    <col min="3" max="3" width="13.33203125" bestFit="1" customWidth="1"/>
    <col min="4" max="4" width="11.1640625" style="1" bestFit="1" customWidth="1"/>
  </cols>
  <sheetData>
    <row r="1" spans="1:4" x14ac:dyDescent="0.2">
      <c r="A1" s="5" t="s">
        <v>3</v>
      </c>
      <c r="B1" s="3" t="s">
        <v>4</v>
      </c>
      <c r="C1" s="3" t="s">
        <v>5</v>
      </c>
      <c r="D1" s="4" t="s">
        <v>6</v>
      </c>
    </row>
    <row r="2" spans="1:4" x14ac:dyDescent="0.2">
      <c r="A2" s="7" t="s">
        <v>20</v>
      </c>
      <c r="B2" t="s">
        <v>9</v>
      </c>
      <c r="C2" t="s">
        <v>10</v>
      </c>
      <c r="D2" s="1">
        <v>145.75</v>
      </c>
    </row>
    <row r="3" spans="1:4" x14ac:dyDescent="0.2">
      <c r="A3" s="7" t="s">
        <v>20</v>
      </c>
      <c r="B3" t="s">
        <v>8</v>
      </c>
      <c r="C3" t="s">
        <v>1</v>
      </c>
      <c r="D3" s="1">
        <f>18.65</f>
        <v>18.649999999999999</v>
      </c>
    </row>
    <row r="4" spans="1:4" x14ac:dyDescent="0.2">
      <c r="A4" s="7" t="s">
        <v>19</v>
      </c>
      <c r="B4" t="s">
        <v>7</v>
      </c>
      <c r="C4" t="s">
        <v>10</v>
      </c>
      <c r="D4" s="1">
        <v>5.32</v>
      </c>
    </row>
    <row r="5" spans="1:4" x14ac:dyDescent="0.2">
      <c r="A5" s="7" t="s">
        <v>18</v>
      </c>
      <c r="B5" t="s">
        <v>11</v>
      </c>
      <c r="C5" t="s">
        <v>1</v>
      </c>
      <c r="D5" s="1">
        <v>210</v>
      </c>
    </row>
    <row r="6" spans="1:4" x14ac:dyDescent="0.2">
      <c r="A6" s="7" t="s">
        <v>21</v>
      </c>
      <c r="B6" t="s">
        <v>22</v>
      </c>
      <c r="C6" t="s">
        <v>0</v>
      </c>
      <c r="D6" s="1">
        <v>18.64</v>
      </c>
    </row>
    <row r="7" spans="1:4" x14ac:dyDescent="0.2">
      <c r="A7" s="7" t="s">
        <v>17</v>
      </c>
      <c r="B7" t="s">
        <v>12</v>
      </c>
      <c r="C7" t="s">
        <v>10</v>
      </c>
      <c r="D7" s="1">
        <v>90</v>
      </c>
    </row>
    <row r="8" spans="1:4" x14ac:dyDescent="0.2">
      <c r="A8" s="7" t="s">
        <v>16</v>
      </c>
      <c r="B8" t="s">
        <v>13</v>
      </c>
      <c r="C8" t="s">
        <v>41</v>
      </c>
      <c r="D8" s="1">
        <v>25</v>
      </c>
    </row>
    <row r="9" spans="1:4" x14ac:dyDescent="0.2">
      <c r="A9" s="7" t="s">
        <v>15</v>
      </c>
      <c r="B9" t="s">
        <v>14</v>
      </c>
      <c r="C9" t="s">
        <v>2</v>
      </c>
      <c r="D9" s="1">
        <v>860</v>
      </c>
    </row>
    <row r="10" spans="1:4" x14ac:dyDescent="0.2">
      <c r="A10" s="7">
        <v>45251</v>
      </c>
      <c r="B10" t="s">
        <v>23</v>
      </c>
      <c r="C10" t="s">
        <v>41</v>
      </c>
      <c r="D10" s="1">
        <v>22.89</v>
      </c>
    </row>
    <row r="11" spans="1:4" x14ac:dyDescent="0.2">
      <c r="A11" s="8">
        <v>45251</v>
      </c>
      <c r="B11" t="s">
        <v>24</v>
      </c>
      <c r="C11" t="s">
        <v>10</v>
      </c>
      <c r="D11" s="1">
        <v>119.75</v>
      </c>
    </row>
    <row r="12" spans="1:4" x14ac:dyDescent="0.2">
      <c r="A12" s="6" t="s">
        <v>35</v>
      </c>
      <c r="B12" t="s">
        <v>26</v>
      </c>
      <c r="C12" t="s">
        <v>1</v>
      </c>
      <c r="D12" s="1">
        <v>162</v>
      </c>
    </row>
    <row r="13" spans="1:4" x14ac:dyDescent="0.2">
      <c r="A13" s="8">
        <v>45254</v>
      </c>
      <c r="B13" t="s">
        <v>27</v>
      </c>
      <c r="C13" t="s">
        <v>10</v>
      </c>
      <c r="D13" s="1">
        <v>78.08</v>
      </c>
    </row>
    <row r="14" spans="1:4" x14ac:dyDescent="0.2">
      <c r="A14" s="6" t="s">
        <v>36</v>
      </c>
      <c r="B14" t="s">
        <v>33</v>
      </c>
      <c r="C14" t="s">
        <v>40</v>
      </c>
      <c r="D14" s="1">
        <v>53.76</v>
      </c>
    </row>
    <row r="15" spans="1:4" x14ac:dyDescent="0.2">
      <c r="A15" s="6" t="s">
        <v>36</v>
      </c>
      <c r="B15" t="s">
        <v>29</v>
      </c>
      <c r="C15" t="s">
        <v>10</v>
      </c>
      <c r="D15" s="1">
        <v>143.94</v>
      </c>
    </row>
    <row r="16" spans="1:4" x14ac:dyDescent="0.2">
      <c r="A16" s="6" t="s">
        <v>25</v>
      </c>
      <c r="B16" t="s">
        <v>31</v>
      </c>
      <c r="C16" t="s">
        <v>32</v>
      </c>
      <c r="D16" s="1">
        <v>15</v>
      </c>
    </row>
    <row r="17" spans="1:4" x14ac:dyDescent="0.2">
      <c r="A17" s="6" t="s">
        <v>28</v>
      </c>
      <c r="B17" t="s">
        <v>37</v>
      </c>
      <c r="C17" t="s">
        <v>41</v>
      </c>
      <c r="D17" s="1">
        <v>17.25</v>
      </c>
    </row>
    <row r="18" spans="1:4" x14ac:dyDescent="0.2">
      <c r="A18" s="6" t="s">
        <v>34</v>
      </c>
      <c r="B18" t="s">
        <v>12</v>
      </c>
      <c r="C18" t="s">
        <v>10</v>
      </c>
      <c r="D18" s="1">
        <v>26</v>
      </c>
    </row>
    <row r="19" spans="1:4" x14ac:dyDescent="0.2">
      <c r="A19" s="6" t="s">
        <v>30</v>
      </c>
      <c r="B19" t="s">
        <v>38</v>
      </c>
      <c r="C19" t="s">
        <v>41</v>
      </c>
      <c r="D19" s="1">
        <v>63.34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Peronal Expense Tracker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Chan</dc:creator>
  <cp:lastModifiedBy>Katrina Chan</cp:lastModifiedBy>
  <dcterms:created xsi:type="dcterms:W3CDTF">2023-12-08T19:22:04Z</dcterms:created>
  <dcterms:modified xsi:type="dcterms:W3CDTF">2023-12-11T19:28:18Z</dcterms:modified>
</cp:coreProperties>
</file>